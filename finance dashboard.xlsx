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Administrator\Desktop\anshika.yadav\"/>
    </mc:Choice>
  </mc:AlternateContent>
  <xr:revisionPtr revIDLastSave="0" documentId="13_ncr:1_{DCC4A735-A467-4DDC-B4B9-F42AD8FA3A46}" xr6:coauthVersionLast="36" xr6:coauthVersionMax="36" xr10:uidLastSave="{00000000-0000-0000-0000-000000000000}"/>
  <bookViews>
    <workbookView minimized="1" xWindow="0" yWindow="0" windowWidth="23040" windowHeight="8544" activeTab="1" xr2:uid="{3E577350-09F8-4E50-8279-6A756BF24A01}"/>
  </bookViews>
  <sheets>
    <sheet name="Sheet1" sheetId="1" r:id="rId1"/>
    <sheet name="Sheet2" sheetId="2" r:id="rId2"/>
  </sheets>
  <definedNames>
    <definedName name="Slicer_CITY">#N/A</definedName>
    <definedName name="Slicer_STATE">#N/A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1" l="1"/>
  <c r="A12" i="1"/>
</calcChain>
</file>

<file path=xl/sharedStrings.xml><?xml version="1.0" encoding="utf-8"?>
<sst xmlns="http://schemas.openxmlformats.org/spreadsheetml/2006/main" count="77" uniqueCount="48">
  <si>
    <t>COMPANY NAME</t>
  </si>
  <si>
    <t>COMPANY TURNOVER</t>
  </si>
  <si>
    <t>CITY</t>
  </si>
  <si>
    <t>STATE</t>
  </si>
  <si>
    <t>CEO NAME</t>
  </si>
  <si>
    <t>START DATE</t>
  </si>
  <si>
    <t>MUMBAI</t>
  </si>
  <si>
    <t>MAHARASHTRA</t>
  </si>
  <si>
    <t>ROHIT YADAV</t>
  </si>
  <si>
    <t>XL DYNAMIC</t>
  </si>
  <si>
    <t>KOLKATA</t>
  </si>
  <si>
    <t>WEST BENGAL</t>
  </si>
  <si>
    <t>GAURAV PAL</t>
  </si>
  <si>
    <t>22/02/2021</t>
  </si>
  <si>
    <t>23/04/2016</t>
  </si>
  <si>
    <t>VIPRO</t>
  </si>
  <si>
    <t>NEXA CORP</t>
  </si>
  <si>
    <t>PUNE</t>
  </si>
  <si>
    <t>KRISHNA YADAV</t>
  </si>
  <si>
    <t>23/06/2022</t>
  </si>
  <si>
    <t>BLUESKY ENTERPRISES</t>
  </si>
  <si>
    <t>DEEPA YADAV</t>
  </si>
  <si>
    <t>24/05/2015</t>
  </si>
  <si>
    <t>SILVERLINE INDUSTRIES</t>
  </si>
  <si>
    <t>DELHI</t>
  </si>
  <si>
    <t>KHUSHBOO YADAV</t>
  </si>
  <si>
    <t>25/04/2022</t>
  </si>
  <si>
    <t>SUNRISE INDUSTRIES</t>
  </si>
  <si>
    <t>YASH PAL</t>
  </si>
  <si>
    <t>20/01/2023</t>
  </si>
  <si>
    <t>JIO</t>
  </si>
  <si>
    <t>POONAM Y.</t>
  </si>
  <si>
    <t>26/02/2018</t>
  </si>
  <si>
    <t>DELOITTE</t>
  </si>
  <si>
    <t>SHRAVAN Y.</t>
  </si>
  <si>
    <t>28/05/2014</t>
  </si>
  <si>
    <t>TCS</t>
  </si>
  <si>
    <t>SANJU</t>
  </si>
  <si>
    <t>28/05/2018</t>
  </si>
  <si>
    <t>RELIANCE INDUSTRIES</t>
  </si>
  <si>
    <t>AADI</t>
  </si>
  <si>
    <t>18/04/2012</t>
  </si>
  <si>
    <t>Sum of COMPANY TURNOVER</t>
  </si>
  <si>
    <t>Row Labels</t>
  </si>
  <si>
    <t>Grand Total</t>
  </si>
  <si>
    <t>PIVOT TABLE 1</t>
  </si>
  <si>
    <t>PIVOT TABLE 2</t>
  </si>
  <si>
    <t>FINANCE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</si>
</sst>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3" x14ac:knownFonts="1">
    <font>
      <sz val="11"/>
      <color theme="1"/>
      <name val="Calibri"/>
      <family val="2"/>
      <scheme val="minor"/>
    </font>
    <font>
      <b/>
      <sz val="11"/>
      <color theme="1"/>
      <name val="Calibri"/>
      <family val="2"/>
      <scheme val="minor"/>
    </font>
    <font>
      <b/>
      <sz val="26"/>
      <color rgb="FFFF0066"/>
      <name val="Calibri"/>
      <family val="2"/>
      <scheme val="minor"/>
    </font>
  </fonts>
  <fills count="4">
    <fill>
      <patternFill patternType="none"/>
    </fill>
    <fill>
      <patternFill patternType="gray125"/>
    </fill>
    <fill>
      <patternFill patternType="solid">
        <fgColor rgb="FFFFCC99"/>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2" borderId="0" xfId="0" applyFont="1" applyFill="1" applyAlignment="1">
      <alignment horizontal="center"/>
    </xf>
    <xf numFmtId="166" fontId="0" fillId="0" borderId="0" xfId="0" applyNumberFormat="1" applyAlignment="1">
      <alignment horizontal="center"/>
    </xf>
    <xf numFmtId="0" fontId="0" fillId="3" borderId="0" xfId="0" applyFill="1"/>
  </cellXfs>
  <cellStyles count="1">
    <cellStyle name="Normal" xfId="0" builtinId="0"/>
  </cellStyles>
  <dxfs count="14">
    <dxf>
      <numFmt numFmtId="166"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0066"/>
      <color rgb="FFFFCCFF"/>
      <color rgb="FFFFCC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Sheet1!$A$21:$A$23</c:f>
              <c:strCache>
                <c:ptCount val="2"/>
                <c:pt idx="0">
                  <c:v>MAHARASHTRA</c:v>
                </c:pt>
                <c:pt idx="1">
                  <c:v>WEST BENGAL</c:v>
                </c:pt>
              </c:strCache>
            </c:strRef>
          </c:cat>
          <c:val>
            <c:numRef>
              <c:f>Sheet1!$B$21:$B$23</c:f>
              <c:numCache>
                <c:formatCode>General</c:formatCode>
                <c:ptCount val="2"/>
                <c:pt idx="0">
                  <c:v>8000000</c:v>
                </c:pt>
                <c:pt idx="1">
                  <c:v>5200000</c:v>
                </c:pt>
              </c:numCache>
            </c:numRef>
          </c:val>
          <c:smooth val="0"/>
          <c:extLst>
            <c:ext xmlns:c16="http://schemas.microsoft.com/office/drawing/2014/chart" uri="{C3380CC4-5D6E-409C-BE32-E72D297353CC}">
              <c16:uniqueId val="{00000000-2003-49AA-8F73-8385A6C24E85}"/>
            </c:ext>
          </c:extLst>
        </c:ser>
        <c:dLbls>
          <c:showLegendKey val="0"/>
          <c:showVal val="0"/>
          <c:showCatName val="0"/>
          <c:showSerName val="0"/>
          <c:showPercent val="0"/>
          <c:showBubbleSize val="0"/>
        </c:dLbls>
        <c:marker val="1"/>
        <c:smooth val="0"/>
        <c:axId val="1069931024"/>
        <c:axId val="1069733248"/>
      </c:lineChart>
      <c:catAx>
        <c:axId val="10699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733248"/>
        <c:crosses val="autoZero"/>
        <c:auto val="1"/>
        <c:lblAlgn val="ctr"/>
        <c:lblOffset val="100"/>
        <c:noMultiLvlLbl val="0"/>
      </c:catAx>
      <c:valAx>
        <c:axId val="106973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9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dashboard.xlsx]Sheet1!PivotTable2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Sheet1!$D$20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C2-4777-872E-7B96F3CFD5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C2-4777-872E-7B96F3CFD5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C2-4777-872E-7B96F3CFD5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C2-4777-872E-7B96F3CFD5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C2-4777-872E-7B96F3CFD5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C2-4777-872E-7B96F3CFD5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C2-4777-872E-7B96F3CFD5F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C2-4777-872E-7B96F3CFD5F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C2-4777-872E-7B96F3CFD5F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C2-4777-872E-7B96F3CFD5FE}"/>
              </c:ext>
            </c:extLst>
          </c:dPt>
          <c:cat>
            <c:strRef>
              <c:f>Sheet1!$C$21:$C$31</c:f>
              <c:strCache>
                <c:ptCount val="10"/>
                <c:pt idx="0">
                  <c:v>AADI</c:v>
                </c:pt>
                <c:pt idx="1">
                  <c:v>DEEPA YADAV</c:v>
                </c:pt>
                <c:pt idx="2">
                  <c:v>GAURAV PAL</c:v>
                </c:pt>
                <c:pt idx="3">
                  <c:v>KHUSHBOO YADAV</c:v>
                </c:pt>
                <c:pt idx="4">
                  <c:v>KRISHNA YADAV</c:v>
                </c:pt>
                <c:pt idx="5">
                  <c:v>POONAM Y.</c:v>
                </c:pt>
                <c:pt idx="6">
                  <c:v>ROHIT YADAV</c:v>
                </c:pt>
                <c:pt idx="7">
                  <c:v>SANJU</c:v>
                </c:pt>
                <c:pt idx="8">
                  <c:v>SHRAVAN Y.</c:v>
                </c:pt>
                <c:pt idx="9">
                  <c:v>YASH PAL</c:v>
                </c:pt>
              </c:strCache>
            </c:strRef>
          </c:cat>
          <c:val>
            <c:numRef>
              <c:f>Sheet1!$D$21:$D$31</c:f>
              <c:numCache>
                <c:formatCode>General</c:formatCode>
                <c:ptCount val="10"/>
                <c:pt idx="0">
                  <c:v>2100000</c:v>
                </c:pt>
                <c:pt idx="1">
                  <c:v>500000</c:v>
                </c:pt>
                <c:pt idx="2">
                  <c:v>1500000</c:v>
                </c:pt>
                <c:pt idx="3">
                  <c:v>800000</c:v>
                </c:pt>
                <c:pt idx="4">
                  <c:v>1000000</c:v>
                </c:pt>
                <c:pt idx="5">
                  <c:v>700000</c:v>
                </c:pt>
                <c:pt idx="6">
                  <c:v>1200000</c:v>
                </c:pt>
                <c:pt idx="7">
                  <c:v>1800000</c:v>
                </c:pt>
                <c:pt idx="8">
                  <c:v>2000000</c:v>
                </c:pt>
                <c:pt idx="9">
                  <c:v>1600000</c:v>
                </c:pt>
              </c:numCache>
            </c:numRef>
          </c:val>
          <c:extLst>
            <c:ext xmlns:c16="http://schemas.microsoft.com/office/drawing/2014/chart" uri="{C3380CC4-5D6E-409C-BE32-E72D297353CC}">
              <c16:uniqueId val="{00000014-FDC2-4777-872E-7B96F3CFD5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175260</xdr:colOff>
      <xdr:row>19</xdr:row>
      <xdr:rowOff>45720</xdr:rowOff>
    </xdr:from>
    <xdr:to>
      <xdr:col>7</xdr:col>
      <xdr:colOff>480060</xdr:colOff>
      <xdr:row>34</xdr:row>
      <xdr:rowOff>45720</xdr:rowOff>
    </xdr:to>
    <xdr:graphicFrame macro="">
      <xdr:nvGraphicFramePr>
        <xdr:cNvPr id="6" name="Chart 5">
          <a:extLst>
            <a:ext uri="{FF2B5EF4-FFF2-40B4-BE49-F238E27FC236}">
              <a16:creationId xmlns:a16="http://schemas.microsoft.com/office/drawing/2014/main" id="{FC3E3506-0416-434E-B340-45482F205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281940</xdr:colOff>
      <xdr:row>19</xdr:row>
      <xdr:rowOff>167640</xdr:rowOff>
    </xdr:from>
    <xdr:to>
      <xdr:col>17</xdr:col>
      <xdr:colOff>586740</xdr:colOff>
      <xdr:row>35</xdr:row>
      <xdr:rowOff>160020</xdr:rowOff>
    </xdr:to>
    <xdr:graphicFrame macro="">
      <xdr:nvGraphicFramePr>
        <xdr:cNvPr id="7" name="Chart 6">
          <a:extLst>
            <a:ext uri="{FF2B5EF4-FFF2-40B4-BE49-F238E27FC236}">
              <a16:creationId xmlns:a16="http://schemas.microsoft.com/office/drawing/2014/main" id="{D4591BA7-7C98-4DB4-BB6A-518F3F0E5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xdr:row>
      <xdr:rowOff>53340</xdr:rowOff>
    </xdr:from>
    <xdr:to>
      <xdr:col>7</xdr:col>
      <xdr:colOff>502920</xdr:colOff>
      <xdr:row>12</xdr:row>
      <xdr:rowOff>15240</xdr:rowOff>
    </xdr:to>
    <xdr:sp macro="" textlink="">
      <xdr:nvSpPr>
        <xdr:cNvPr id="8" name="Rectangle: Rounded Corners 7">
          <a:extLst>
            <a:ext uri="{FF2B5EF4-FFF2-40B4-BE49-F238E27FC236}">
              <a16:creationId xmlns:a16="http://schemas.microsoft.com/office/drawing/2014/main" id="{EFFA5BB9-4ED1-4CF9-B400-FA132A8BAAC7}"/>
            </a:ext>
          </a:extLst>
        </xdr:cNvPr>
        <xdr:cNvSpPr/>
      </xdr:nvSpPr>
      <xdr:spPr>
        <a:xfrm>
          <a:off x="91440" y="419100"/>
          <a:ext cx="4678680" cy="17907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434340</xdr:colOff>
      <xdr:row>7</xdr:row>
      <xdr:rowOff>91440</xdr:rowOff>
    </xdr:from>
    <xdr:to>
      <xdr:col>5</xdr:col>
      <xdr:colOff>114300</xdr:colOff>
      <xdr:row>10</xdr:row>
      <xdr:rowOff>68580</xdr:rowOff>
    </xdr:to>
    <xdr:sp macro="" textlink="">
      <xdr:nvSpPr>
        <xdr:cNvPr id="9" name="TextBox 8">
          <a:extLst>
            <a:ext uri="{FF2B5EF4-FFF2-40B4-BE49-F238E27FC236}">
              <a16:creationId xmlns:a16="http://schemas.microsoft.com/office/drawing/2014/main" id="{01D6B93A-534F-43E3-A495-36EF1BB5A506}"/>
            </a:ext>
          </a:extLst>
        </xdr:cNvPr>
        <xdr:cNvSpPr txBox="1"/>
      </xdr:nvSpPr>
      <xdr:spPr>
        <a:xfrm>
          <a:off x="434340" y="1371600"/>
          <a:ext cx="272796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TURNOVER</a:t>
          </a:r>
        </a:p>
      </xdr:txBody>
    </xdr:sp>
    <xdr:clientData/>
  </xdr:twoCellAnchor>
  <xdr:twoCellAnchor editAs="oneCell">
    <xdr:from>
      <xdr:col>1</xdr:col>
      <xdr:colOff>144780</xdr:colOff>
      <xdr:row>3</xdr:row>
      <xdr:rowOff>175260</xdr:rowOff>
    </xdr:from>
    <xdr:to>
      <xdr:col>4</xdr:col>
      <xdr:colOff>533400</xdr:colOff>
      <xdr:row>6</xdr:row>
      <xdr:rowOff>76200</xdr:rowOff>
    </xdr:to>
    <xdr:pic>
      <xdr:nvPicPr>
        <xdr:cNvPr id="10" name="Picture 9">
          <a:extLst>
            <a:ext uri="{FF2B5EF4-FFF2-40B4-BE49-F238E27FC236}">
              <a16:creationId xmlns:a16="http://schemas.microsoft.com/office/drawing/2014/main" id="{0C827F42-46B4-4C65-9061-E21635403E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4380" y="723900"/>
          <a:ext cx="221742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99060</xdr:colOff>
      <xdr:row>2</xdr:row>
      <xdr:rowOff>106680</xdr:rowOff>
    </xdr:from>
    <xdr:to>
      <xdr:col>17</xdr:col>
      <xdr:colOff>220980</xdr:colOff>
      <xdr:row>11</xdr:row>
      <xdr:rowOff>129540</xdr:rowOff>
    </xdr:to>
    <xdr:sp macro="" textlink="">
      <xdr:nvSpPr>
        <xdr:cNvPr id="11" name="Rectangle: Rounded Corners 10">
          <a:extLst>
            <a:ext uri="{FF2B5EF4-FFF2-40B4-BE49-F238E27FC236}">
              <a16:creationId xmlns:a16="http://schemas.microsoft.com/office/drawing/2014/main" id="{935B08F8-97C1-4D27-BB67-2214817BD3C7}"/>
            </a:ext>
          </a:extLst>
        </xdr:cNvPr>
        <xdr:cNvSpPr/>
      </xdr:nvSpPr>
      <xdr:spPr>
        <a:xfrm>
          <a:off x="6195060" y="472440"/>
          <a:ext cx="4389120" cy="166878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60960</xdr:colOff>
      <xdr:row>8</xdr:row>
      <xdr:rowOff>121920</xdr:rowOff>
    </xdr:from>
    <xdr:to>
      <xdr:col>16</xdr:col>
      <xdr:colOff>190500</xdr:colOff>
      <xdr:row>11</xdr:row>
      <xdr:rowOff>22860</xdr:rowOff>
    </xdr:to>
    <xdr:sp macro="" textlink="">
      <xdr:nvSpPr>
        <xdr:cNvPr id="12" name="TextBox 11">
          <a:extLst>
            <a:ext uri="{FF2B5EF4-FFF2-40B4-BE49-F238E27FC236}">
              <a16:creationId xmlns:a16="http://schemas.microsoft.com/office/drawing/2014/main" id="{C2E588B9-6F1E-4F95-B8F8-217B5954C8F1}"/>
            </a:ext>
          </a:extLst>
        </xdr:cNvPr>
        <xdr:cNvSpPr txBox="1"/>
      </xdr:nvSpPr>
      <xdr:spPr>
        <a:xfrm>
          <a:off x="6766560" y="1584960"/>
          <a:ext cx="317754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COMPANY COUNT</a:t>
          </a:r>
        </a:p>
      </xdr:txBody>
    </xdr:sp>
    <xdr:clientData/>
  </xdr:twoCellAnchor>
  <xdr:twoCellAnchor editAs="oneCell">
    <xdr:from>
      <xdr:col>12</xdr:col>
      <xdr:colOff>38100</xdr:colOff>
      <xdr:row>4</xdr:row>
      <xdr:rowOff>99060</xdr:rowOff>
    </xdr:from>
    <xdr:to>
      <xdr:col>15</xdr:col>
      <xdr:colOff>99060</xdr:colOff>
      <xdr:row>7</xdr:row>
      <xdr:rowOff>99060</xdr:rowOff>
    </xdr:to>
    <xdr:pic>
      <xdr:nvPicPr>
        <xdr:cNvPr id="13" name="Picture 12">
          <a:extLst>
            <a:ext uri="{FF2B5EF4-FFF2-40B4-BE49-F238E27FC236}">
              <a16:creationId xmlns:a16="http://schemas.microsoft.com/office/drawing/2014/main" id="{CE5698F0-5E66-4653-9FFF-56406F0B594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353300" y="830580"/>
          <a:ext cx="18897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182880</xdr:colOff>
      <xdr:row>12</xdr:row>
      <xdr:rowOff>160018</xdr:rowOff>
    </xdr:from>
    <xdr:to>
      <xdr:col>7</xdr:col>
      <xdr:colOff>518160</xdr:colOff>
      <xdr:row>18</xdr:row>
      <xdr:rowOff>99060</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430B12F8-6FEA-4AA5-99FC-5161D053E2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2880" y="2354578"/>
              <a:ext cx="4602480" cy="103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12</xdr:row>
      <xdr:rowOff>106680</xdr:rowOff>
    </xdr:from>
    <xdr:to>
      <xdr:col>17</xdr:col>
      <xdr:colOff>243840</xdr:colOff>
      <xdr:row>18</xdr:row>
      <xdr:rowOff>99060</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DD94B40C-BBCB-4592-9D6A-4E8036A5046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31280" y="2301240"/>
              <a:ext cx="417576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3.483859953703" createdVersion="6" refreshedVersion="6" minRefreshableVersion="3" recordCount="10" xr:uid="{9915C40E-9F8F-42D1-BD8E-2E667AE516E0}">
  <cacheSource type="worksheet">
    <worksheetSource name="Table1"/>
  </cacheSource>
  <cacheFields count="6">
    <cacheField name="COMPANY NAME" numFmtId="0">
      <sharedItems/>
    </cacheField>
    <cacheField name="COMPANY TURNOVER" numFmtId="0">
      <sharedItems containsSemiMixedTypes="0" containsString="0" containsNumber="1" containsInteger="1" minValue="500000" maxValue="2100000"/>
    </cacheField>
    <cacheField name="CITY" numFmtId="0">
      <sharedItems count="4">
        <s v="MUMBAI"/>
        <s v="KOLKATA"/>
        <s v="PUNE"/>
        <s v="DELHI"/>
      </sharedItems>
    </cacheField>
    <cacheField name="STATE" numFmtId="0">
      <sharedItems count="2">
        <s v="MAHARASHTRA"/>
        <s v="WEST BENGAL"/>
      </sharedItems>
    </cacheField>
    <cacheField name="CEO NAME" numFmtId="0">
      <sharedItems count="10">
        <s v="ROHIT YADAV"/>
        <s v="GAURAV PAL"/>
        <s v="KRISHNA YADAV"/>
        <s v="DEEPA YADAV"/>
        <s v="KHUSHBOO YADAV"/>
        <s v="YASH PAL"/>
        <s v="POONAM Y."/>
        <s v="SHRAVAN Y."/>
        <s v="SANJU"/>
        <s v="AADI"/>
      </sharedItems>
    </cacheField>
    <cacheField name="START DATE" numFmtId="0">
      <sharedItems/>
    </cacheField>
  </cacheFields>
  <extLst>
    <ext xmlns:x14="http://schemas.microsoft.com/office/spreadsheetml/2009/9/main" uri="{725AE2AE-9491-48be-B2B4-4EB974FC3084}">
      <x14:pivotCacheDefinition pivotCacheId="1307415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XL DYNAMIC"/>
    <n v="1200000"/>
    <x v="0"/>
    <x v="0"/>
    <x v="0"/>
    <s v="23/04/2016"/>
  </r>
  <r>
    <s v="VIPRO"/>
    <n v="1500000"/>
    <x v="1"/>
    <x v="1"/>
    <x v="1"/>
    <s v="22/02/2021"/>
  </r>
  <r>
    <s v="NEXA CORP"/>
    <n v="1000000"/>
    <x v="2"/>
    <x v="0"/>
    <x v="2"/>
    <s v="23/06/2022"/>
  </r>
  <r>
    <s v="BLUESKY ENTERPRISES"/>
    <n v="500000"/>
    <x v="0"/>
    <x v="0"/>
    <x v="3"/>
    <s v="24/05/2015"/>
  </r>
  <r>
    <s v="SILVERLINE INDUSTRIES"/>
    <n v="800000"/>
    <x v="3"/>
    <x v="0"/>
    <x v="4"/>
    <s v="25/04/2022"/>
  </r>
  <r>
    <s v="SUNRISE INDUSTRIES"/>
    <n v="1600000"/>
    <x v="1"/>
    <x v="1"/>
    <x v="5"/>
    <s v="20/01/2023"/>
  </r>
  <r>
    <s v="JIO"/>
    <n v="700000"/>
    <x v="0"/>
    <x v="0"/>
    <x v="6"/>
    <s v="26/02/2018"/>
  </r>
  <r>
    <s v="DELOITTE"/>
    <n v="2000000"/>
    <x v="2"/>
    <x v="0"/>
    <x v="7"/>
    <s v="28/05/2014"/>
  </r>
  <r>
    <s v="TCS"/>
    <n v="1800000"/>
    <x v="3"/>
    <x v="0"/>
    <x v="8"/>
    <s v="28/05/2018"/>
  </r>
  <r>
    <s v="RELIANCE INDUSTRIES"/>
    <n v="2100000"/>
    <x v="1"/>
    <x v="1"/>
    <x v="9"/>
    <s v="18/04/2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F90E4-509F-4906-8399-EE95481FC9B2}"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C20:D31" firstHeaderRow="1" firstDataRow="1" firstDataCol="1"/>
  <pivotFields count="6">
    <pivotField showAll="0"/>
    <pivotField dataField="1" showAll="0"/>
    <pivotField showAll="0">
      <items count="5">
        <item x="0"/>
        <item x="3"/>
        <item x="1"/>
        <item x="2"/>
        <item t="default"/>
      </items>
    </pivotField>
    <pivotField showAll="0">
      <items count="3">
        <item x="0"/>
        <item x="1"/>
        <item t="default"/>
      </items>
    </pivotField>
    <pivotField axis="axisRow" showAll="0">
      <items count="11">
        <item x="9"/>
        <item x="3"/>
        <item x="1"/>
        <item x="4"/>
        <item x="2"/>
        <item x="6"/>
        <item x="0"/>
        <item x="8"/>
        <item x="7"/>
        <item x="5"/>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Sum of COMPANY TURNOVER" fld="1" baseField="0" baseItem="0"/>
  </dataFields>
  <chartFormats count="11">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 chart="6" format="16">
      <pivotArea type="data" outline="0" fieldPosition="0">
        <references count="2">
          <reference field="4294967294" count="1" selected="0">
            <x v="0"/>
          </reference>
          <reference field="4" count="1" selected="0">
            <x v="3"/>
          </reference>
        </references>
      </pivotArea>
    </chartFormat>
    <chartFormat chart="6" format="17">
      <pivotArea type="data" outline="0" fieldPosition="0">
        <references count="2">
          <reference field="4294967294" count="1" selected="0">
            <x v="0"/>
          </reference>
          <reference field="4" count="1" selected="0">
            <x v="4"/>
          </reference>
        </references>
      </pivotArea>
    </chartFormat>
    <chartFormat chart="6" format="18">
      <pivotArea type="data" outline="0" fieldPosition="0">
        <references count="2">
          <reference field="4294967294" count="1" selected="0">
            <x v="0"/>
          </reference>
          <reference field="4" count="1" selected="0">
            <x v="5"/>
          </reference>
        </references>
      </pivotArea>
    </chartFormat>
    <chartFormat chart="6" format="19">
      <pivotArea type="data" outline="0" fieldPosition="0">
        <references count="2">
          <reference field="4294967294" count="1" selected="0">
            <x v="0"/>
          </reference>
          <reference field="4" count="1" selected="0">
            <x v="6"/>
          </reference>
        </references>
      </pivotArea>
    </chartFormat>
    <chartFormat chart="6" format="20">
      <pivotArea type="data" outline="0" fieldPosition="0">
        <references count="2">
          <reference field="4294967294" count="1" selected="0">
            <x v="0"/>
          </reference>
          <reference field="4" count="1" selected="0">
            <x v="7"/>
          </reference>
        </references>
      </pivotArea>
    </chartFormat>
    <chartFormat chart="6" format="21">
      <pivotArea type="data" outline="0" fieldPosition="0">
        <references count="2">
          <reference field="4294967294" count="1" selected="0">
            <x v="0"/>
          </reference>
          <reference field="4" count="1" selected="0">
            <x v="8"/>
          </reference>
        </references>
      </pivotArea>
    </chartFormat>
    <chartFormat chart="6"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AC0FD1-718E-46BA-9850-DDC615D70296}"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0:B23" firstHeaderRow="1" firstDataRow="1" firstDataCol="1"/>
  <pivotFields count="6">
    <pivotField showAll="0"/>
    <pivotField dataField="1" showAll="0"/>
    <pivotField showAll="0">
      <items count="5">
        <item x="0"/>
        <item x="3"/>
        <item x="1"/>
        <item x="2"/>
        <item t="default"/>
      </items>
    </pivotField>
    <pivotField axis="axisRow" showAll="0">
      <items count="3">
        <item x="0"/>
        <item x="1"/>
        <item t="default"/>
      </items>
    </pivotField>
    <pivotField showAll="0"/>
    <pivotField showAll="0"/>
  </pivotFields>
  <rowFields count="1">
    <field x="3"/>
  </rowFields>
  <rowItems count="3">
    <i>
      <x/>
    </i>
    <i>
      <x v="1"/>
    </i>
    <i t="grand">
      <x/>
    </i>
  </rowItems>
  <colItems count="1">
    <i/>
  </colItems>
  <dataFields count="1">
    <dataField name="Sum of COMPANY TURNOVER" fld="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E752628-0675-4C25-BC8F-FBCFC36E03F5}" sourceName="CITY">
  <pivotTables>
    <pivotTable tabId="1" name="PivotTable1"/>
    <pivotTable tabId="1" name="PivotTable2"/>
  </pivotTables>
  <data>
    <tabular pivotCacheId="130741568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733EEF3-ABA5-4783-A8E7-BA61F97FEB2E}" sourceName="STATE">
  <pivotTables>
    <pivotTable tabId="1" name="PivotTable1"/>
    <pivotTable tabId="1" name="PivotTable2"/>
  </pivotTables>
  <data>
    <tabular pivotCacheId="13074156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CF0E4CC-2E79-4227-A49E-4F0E5BF1F24D}" cache="Slicer_CITY" caption="CITY" columnCount="4" rowHeight="274320"/>
  <slicer name="STATE" xr10:uid="{F37754D4-1820-4E39-9F19-1001D2F1F085}" cache="Slicer_STATE" caption="STATE" columnCoun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FB5F4-247F-4AE3-9C94-1ACFFD8B1C8D}" name="Table1" displayName="Table1" ref="A1:F12" totalsRowCount="1" headerRowDxfId="13" dataDxfId="12">
  <autoFilter ref="A1:F11" xr:uid="{21318BAB-E6D5-40CE-98F8-590DE46A5B06}"/>
  <tableColumns count="6">
    <tableColumn id="1" xr3:uid="{956FF77E-F80D-411F-B438-440D2E324D21}" name="COMPANY NAME" totalsRowFunction="custom" dataDxfId="11" totalsRowDxfId="5">
      <totalsRowFormula>COUNTA(Table1[COMPANY NAME])</totalsRowFormula>
    </tableColumn>
    <tableColumn id="2" xr3:uid="{FE546F18-BEB8-4879-A803-CE55C2B9914C}" name="COMPANY TURNOVER" totalsRowFunction="custom" dataDxfId="10" totalsRowDxfId="0">
      <totalsRowFormula>SUM(Table1[COMPANY TURNOVER])</totalsRowFormula>
    </tableColumn>
    <tableColumn id="3" xr3:uid="{03518475-81C4-42A4-9B2E-CEA0650ADEBE}" name="CITY" dataDxfId="9" totalsRowDxfId="4"/>
    <tableColumn id="4" xr3:uid="{EFC468D2-B3B9-4B52-8207-A359E2698257}" name="STATE" dataDxfId="8" totalsRowDxfId="3"/>
    <tableColumn id="5" xr3:uid="{23C01C54-3562-4256-8359-EEB892CC8125}" name="CEO NAME" dataDxfId="7" totalsRowDxfId="2"/>
    <tableColumn id="6" xr3:uid="{1C96592C-B1ED-463F-9387-380BDCE9114F}" name="START DATE" dataDxfId="6" totalsRowDxfId="1"/>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A399-D015-4F61-A5C7-0A811925D745}">
  <sheetPr codeName="Sheet1"/>
  <dimension ref="A1:F31"/>
  <sheetViews>
    <sheetView topLeftCell="A7" workbookViewId="0">
      <selection activeCell="A20" sqref="A20:D30"/>
    </sheetView>
  </sheetViews>
  <sheetFormatPr defaultRowHeight="14.4" x14ac:dyDescent="0.3"/>
  <cols>
    <col min="1" max="1" width="13.77734375" bestFit="1" customWidth="1"/>
    <col min="2" max="2" width="26.6640625" bestFit="1" customWidth="1"/>
    <col min="3" max="3" width="16.5546875" bestFit="1" customWidth="1"/>
    <col min="4" max="4" width="26.6640625" bestFit="1" customWidth="1"/>
    <col min="5" max="5" width="23.77734375" bestFit="1" customWidth="1"/>
    <col min="6" max="6" width="24.21875" customWidth="1"/>
  </cols>
  <sheetData>
    <row r="1" spans="1:6" x14ac:dyDescent="0.3">
      <c r="A1" s="1" t="s">
        <v>0</v>
      </c>
      <c r="B1" s="1" t="s">
        <v>1</v>
      </c>
      <c r="C1" s="1" t="s">
        <v>2</v>
      </c>
      <c r="D1" s="1" t="s">
        <v>3</v>
      </c>
      <c r="E1" s="1" t="s">
        <v>4</v>
      </c>
      <c r="F1" s="1" t="s">
        <v>5</v>
      </c>
    </row>
    <row r="2" spans="1:6" x14ac:dyDescent="0.3">
      <c r="A2" s="1" t="s">
        <v>9</v>
      </c>
      <c r="B2" s="1">
        <v>1200000</v>
      </c>
      <c r="C2" s="1" t="s">
        <v>6</v>
      </c>
      <c r="D2" s="1" t="s">
        <v>7</v>
      </c>
      <c r="E2" s="1" t="s">
        <v>8</v>
      </c>
      <c r="F2" s="1" t="s">
        <v>14</v>
      </c>
    </row>
    <row r="3" spans="1:6" x14ac:dyDescent="0.3">
      <c r="A3" s="1" t="s">
        <v>15</v>
      </c>
      <c r="B3" s="1">
        <v>1500000</v>
      </c>
      <c r="C3" s="1" t="s">
        <v>10</v>
      </c>
      <c r="D3" s="1" t="s">
        <v>11</v>
      </c>
      <c r="E3" s="1" t="s">
        <v>12</v>
      </c>
      <c r="F3" s="1" t="s">
        <v>13</v>
      </c>
    </row>
    <row r="4" spans="1:6" x14ac:dyDescent="0.3">
      <c r="A4" s="1" t="s">
        <v>16</v>
      </c>
      <c r="B4" s="1">
        <v>1000000</v>
      </c>
      <c r="C4" s="1" t="s">
        <v>17</v>
      </c>
      <c r="D4" s="1" t="s">
        <v>7</v>
      </c>
      <c r="E4" s="1" t="s">
        <v>18</v>
      </c>
      <c r="F4" s="1" t="s">
        <v>19</v>
      </c>
    </row>
    <row r="5" spans="1:6" x14ac:dyDescent="0.3">
      <c r="A5" s="1" t="s">
        <v>20</v>
      </c>
      <c r="B5" s="1">
        <v>500000</v>
      </c>
      <c r="C5" s="1" t="s">
        <v>6</v>
      </c>
      <c r="D5" s="1" t="s">
        <v>7</v>
      </c>
      <c r="E5" s="1" t="s">
        <v>21</v>
      </c>
      <c r="F5" s="1" t="s">
        <v>22</v>
      </c>
    </row>
    <row r="6" spans="1:6" x14ac:dyDescent="0.3">
      <c r="A6" s="1" t="s">
        <v>23</v>
      </c>
      <c r="B6" s="1">
        <v>800000</v>
      </c>
      <c r="C6" s="1" t="s">
        <v>24</v>
      </c>
      <c r="D6" s="1" t="s">
        <v>7</v>
      </c>
      <c r="E6" s="1" t="s">
        <v>25</v>
      </c>
      <c r="F6" s="1" t="s">
        <v>26</v>
      </c>
    </row>
    <row r="7" spans="1:6" x14ac:dyDescent="0.3">
      <c r="A7" s="1" t="s">
        <v>27</v>
      </c>
      <c r="B7" s="1">
        <v>1600000</v>
      </c>
      <c r="C7" s="1" t="s">
        <v>10</v>
      </c>
      <c r="D7" s="1" t="s">
        <v>11</v>
      </c>
      <c r="E7" s="1" t="s">
        <v>28</v>
      </c>
      <c r="F7" s="1" t="s">
        <v>29</v>
      </c>
    </row>
    <row r="8" spans="1:6" x14ac:dyDescent="0.3">
      <c r="A8" s="1" t="s">
        <v>30</v>
      </c>
      <c r="B8" s="1">
        <v>700000</v>
      </c>
      <c r="C8" s="1" t="s">
        <v>6</v>
      </c>
      <c r="D8" s="1" t="s">
        <v>7</v>
      </c>
      <c r="E8" s="1" t="s">
        <v>31</v>
      </c>
      <c r="F8" s="1" t="s">
        <v>32</v>
      </c>
    </row>
    <row r="9" spans="1:6" x14ac:dyDescent="0.3">
      <c r="A9" s="1" t="s">
        <v>33</v>
      </c>
      <c r="B9" s="1">
        <v>2000000</v>
      </c>
      <c r="C9" s="1" t="s">
        <v>17</v>
      </c>
      <c r="D9" s="1" t="s">
        <v>7</v>
      </c>
      <c r="E9" s="1" t="s">
        <v>34</v>
      </c>
      <c r="F9" s="1" t="s">
        <v>35</v>
      </c>
    </row>
    <row r="10" spans="1:6" x14ac:dyDescent="0.3">
      <c r="A10" s="1" t="s">
        <v>36</v>
      </c>
      <c r="B10" s="1">
        <v>1800000</v>
      </c>
      <c r="C10" s="1" t="s">
        <v>24</v>
      </c>
      <c r="D10" s="1" t="s">
        <v>7</v>
      </c>
      <c r="E10" s="1" t="s">
        <v>37</v>
      </c>
      <c r="F10" s="1" t="s">
        <v>38</v>
      </c>
    </row>
    <row r="11" spans="1:6" x14ac:dyDescent="0.3">
      <c r="A11" s="1" t="s">
        <v>39</v>
      </c>
      <c r="B11" s="1">
        <v>2100000</v>
      </c>
      <c r="C11" s="1" t="s">
        <v>10</v>
      </c>
      <c r="D11" s="1" t="s">
        <v>11</v>
      </c>
      <c r="E11" s="1" t="s">
        <v>40</v>
      </c>
      <c r="F11" s="1" t="s">
        <v>41</v>
      </c>
    </row>
    <row r="12" spans="1:6" x14ac:dyDescent="0.3">
      <c r="A12" s="1">
        <f>COUNTA(Table1[COMPANY NAME])</f>
        <v>10</v>
      </c>
      <c r="B12" s="7">
        <f>SUM(Table1[COMPANY TURNOVER])</f>
        <v>13200000</v>
      </c>
      <c r="C12" s="1"/>
      <c r="D12" s="1"/>
      <c r="E12" s="1"/>
      <c r="F12" s="1"/>
    </row>
    <row r="17" spans="1:5" x14ac:dyDescent="0.3">
      <c r="A17" s="5"/>
      <c r="C17" s="5"/>
      <c r="E17" s="5"/>
    </row>
    <row r="19" spans="1:5" x14ac:dyDescent="0.3">
      <c r="A19" s="5" t="s">
        <v>45</v>
      </c>
      <c r="C19" s="5" t="s">
        <v>46</v>
      </c>
    </row>
    <row r="20" spans="1:5" x14ac:dyDescent="0.3">
      <c r="A20" s="3" t="s">
        <v>43</v>
      </c>
      <c r="B20" t="s">
        <v>42</v>
      </c>
      <c r="C20" s="3" t="s">
        <v>43</v>
      </c>
      <c r="D20" t="s">
        <v>42</v>
      </c>
    </row>
    <row r="21" spans="1:5" x14ac:dyDescent="0.3">
      <c r="A21" s="4" t="s">
        <v>7</v>
      </c>
      <c r="B21" s="2">
        <v>8000000</v>
      </c>
      <c r="C21" s="4" t="s">
        <v>40</v>
      </c>
      <c r="D21" s="2">
        <v>2100000</v>
      </c>
    </row>
    <row r="22" spans="1:5" x14ac:dyDescent="0.3">
      <c r="A22" s="4" t="s">
        <v>11</v>
      </c>
      <c r="B22" s="2">
        <v>5200000</v>
      </c>
      <c r="C22" s="4" t="s">
        <v>21</v>
      </c>
      <c r="D22" s="2">
        <v>500000</v>
      </c>
    </row>
    <row r="23" spans="1:5" x14ac:dyDescent="0.3">
      <c r="A23" s="4" t="s">
        <v>44</v>
      </c>
      <c r="B23" s="2">
        <v>13200000</v>
      </c>
      <c r="C23" s="4" t="s">
        <v>12</v>
      </c>
      <c r="D23" s="2">
        <v>1500000</v>
      </c>
    </row>
    <row r="24" spans="1:5" x14ac:dyDescent="0.3">
      <c r="C24" s="4" t="s">
        <v>25</v>
      </c>
      <c r="D24" s="2">
        <v>800000</v>
      </c>
    </row>
    <row r="25" spans="1:5" x14ac:dyDescent="0.3">
      <c r="C25" s="4" t="s">
        <v>18</v>
      </c>
      <c r="D25" s="2">
        <v>1000000</v>
      </c>
    </row>
    <row r="26" spans="1:5" x14ac:dyDescent="0.3">
      <c r="C26" s="4" t="s">
        <v>31</v>
      </c>
      <c r="D26" s="2">
        <v>700000</v>
      </c>
    </row>
    <row r="27" spans="1:5" x14ac:dyDescent="0.3">
      <c r="C27" s="4" t="s">
        <v>8</v>
      </c>
      <c r="D27" s="2">
        <v>1200000</v>
      </c>
    </row>
    <row r="28" spans="1:5" x14ac:dyDescent="0.3">
      <c r="C28" s="4" t="s">
        <v>37</v>
      </c>
      <c r="D28" s="2">
        <v>1800000</v>
      </c>
    </row>
    <row r="29" spans="1:5" x14ac:dyDescent="0.3">
      <c r="C29" s="4" t="s">
        <v>34</v>
      </c>
      <c r="D29" s="2">
        <v>2000000</v>
      </c>
    </row>
    <row r="30" spans="1:5" x14ac:dyDescent="0.3">
      <c r="C30" s="4" t="s">
        <v>28</v>
      </c>
      <c r="D30" s="2">
        <v>1600000</v>
      </c>
    </row>
    <row r="31" spans="1:5" x14ac:dyDescent="0.3">
      <c r="C31" s="4" t="s">
        <v>44</v>
      </c>
      <c r="D31" s="2">
        <v>13200000</v>
      </c>
    </row>
  </sheetData>
  <pageMargins left="0.7" right="0.7" top="0.75" bottom="0.75" header="0.3" footer="0.3"/>
  <pageSetup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5C4D-55EF-4FFC-B455-74D7AE4C0D7B}">
  <sheetPr codeName="Sheet2"/>
  <dimension ref="A1:U40"/>
  <sheetViews>
    <sheetView showGridLines="0" tabSelected="1" topLeftCell="A7" workbookViewId="0">
      <selection activeCell="N16" sqref="N16"/>
    </sheetView>
  </sheetViews>
  <sheetFormatPr defaultRowHeight="14.4" x14ac:dyDescent="0.3"/>
  <sheetData>
    <row r="1" spans="1:21" x14ac:dyDescent="0.3">
      <c r="A1" s="6" t="s">
        <v>47</v>
      </c>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row r="33" spans="1:21" x14ac:dyDescent="0.3">
      <c r="A33" s="8"/>
      <c r="B33" s="8"/>
      <c r="C33" s="8"/>
      <c r="D33" s="8"/>
      <c r="E33" s="8"/>
      <c r="F33" s="8"/>
      <c r="G33" s="8"/>
      <c r="H33" s="8"/>
      <c r="I33" s="8"/>
      <c r="J33" s="8"/>
      <c r="K33" s="8"/>
      <c r="L33" s="8"/>
      <c r="M33" s="8"/>
      <c r="N33" s="8"/>
      <c r="O33" s="8"/>
      <c r="P33" s="8"/>
      <c r="Q33" s="8"/>
      <c r="R33" s="8"/>
      <c r="S33" s="8"/>
      <c r="T33" s="8"/>
      <c r="U33" s="8"/>
    </row>
    <row r="34" spans="1:21" x14ac:dyDescent="0.3">
      <c r="A34" s="8"/>
      <c r="B34" s="8"/>
      <c r="C34" s="8"/>
      <c r="D34" s="8"/>
      <c r="E34" s="8"/>
      <c r="F34" s="8"/>
      <c r="G34" s="8"/>
      <c r="H34" s="8"/>
      <c r="I34" s="8"/>
      <c r="J34" s="8"/>
      <c r="K34" s="8"/>
      <c r="L34" s="8"/>
      <c r="M34" s="8"/>
      <c r="N34" s="8"/>
      <c r="O34" s="8"/>
      <c r="P34" s="8"/>
      <c r="Q34" s="8"/>
      <c r="R34" s="8"/>
      <c r="S34" s="8"/>
      <c r="T34" s="8"/>
      <c r="U34" s="8"/>
    </row>
    <row r="35" spans="1:21" x14ac:dyDescent="0.3">
      <c r="A35" s="8"/>
      <c r="B35" s="8"/>
      <c r="C35" s="8"/>
      <c r="D35" s="8"/>
      <c r="E35" s="8"/>
      <c r="F35" s="8"/>
      <c r="G35" s="8"/>
      <c r="H35" s="8"/>
      <c r="I35" s="8"/>
      <c r="J35" s="8"/>
      <c r="K35" s="8"/>
      <c r="L35" s="8"/>
      <c r="M35" s="8"/>
      <c r="N35" s="8"/>
      <c r="O35" s="8"/>
      <c r="P35" s="8"/>
      <c r="Q35" s="8"/>
      <c r="R35" s="8"/>
      <c r="S35" s="8"/>
      <c r="T35" s="8"/>
      <c r="U35" s="8"/>
    </row>
    <row r="36" spans="1:21" x14ac:dyDescent="0.3">
      <c r="A36" s="8"/>
      <c r="B36" s="8"/>
      <c r="C36" s="8"/>
      <c r="D36" s="8"/>
      <c r="E36" s="8"/>
      <c r="F36" s="8"/>
      <c r="G36" s="8"/>
      <c r="H36" s="8"/>
      <c r="I36" s="8"/>
      <c r="J36" s="8"/>
      <c r="K36" s="8"/>
      <c r="L36" s="8"/>
      <c r="M36" s="8"/>
      <c r="N36" s="8"/>
      <c r="O36" s="8"/>
      <c r="P36" s="8"/>
      <c r="Q36" s="8"/>
      <c r="R36" s="8"/>
      <c r="S36" s="8"/>
      <c r="T36" s="8"/>
      <c r="U36" s="8"/>
    </row>
    <row r="37" spans="1:21" x14ac:dyDescent="0.3">
      <c r="A37" s="8"/>
      <c r="B37" s="8"/>
      <c r="C37" s="8"/>
      <c r="D37" s="8"/>
      <c r="E37" s="8"/>
      <c r="F37" s="8"/>
      <c r="G37" s="8"/>
      <c r="H37" s="8"/>
      <c r="I37" s="8"/>
      <c r="J37" s="8"/>
      <c r="K37" s="8"/>
      <c r="L37" s="8"/>
      <c r="M37" s="8"/>
      <c r="N37" s="8"/>
      <c r="O37" s="8"/>
      <c r="P37" s="8"/>
      <c r="Q37" s="8"/>
      <c r="R37" s="8"/>
      <c r="S37" s="8"/>
      <c r="T37" s="8"/>
      <c r="U37" s="8"/>
    </row>
    <row r="38" spans="1:21" x14ac:dyDescent="0.3">
      <c r="A38" s="8"/>
      <c r="B38" s="8"/>
      <c r="C38" s="8"/>
      <c r="D38" s="8"/>
      <c r="E38" s="8"/>
      <c r="F38" s="8"/>
      <c r="G38" s="8"/>
      <c r="H38" s="8"/>
      <c r="I38" s="8"/>
      <c r="J38" s="8"/>
      <c r="K38" s="8"/>
      <c r="L38" s="8"/>
      <c r="M38" s="8"/>
      <c r="N38" s="8"/>
      <c r="O38" s="8"/>
      <c r="P38" s="8"/>
      <c r="Q38" s="8"/>
      <c r="R38" s="8"/>
      <c r="S38" s="8"/>
      <c r="T38" s="8"/>
      <c r="U38" s="8"/>
    </row>
    <row r="39" spans="1:21" x14ac:dyDescent="0.3">
      <c r="A39" s="8"/>
      <c r="B39" s="8"/>
      <c r="C39" s="8"/>
      <c r="D39" s="8"/>
      <c r="E39" s="8"/>
      <c r="F39" s="8"/>
      <c r="G39" s="8"/>
      <c r="H39" s="8"/>
      <c r="I39" s="8"/>
      <c r="J39" s="8"/>
      <c r="K39" s="8"/>
      <c r="L39" s="8"/>
      <c r="M39" s="8"/>
      <c r="N39" s="8"/>
      <c r="O39" s="8"/>
      <c r="P39" s="8"/>
      <c r="Q39" s="8"/>
      <c r="R39" s="8"/>
      <c r="S39" s="8"/>
      <c r="T39" s="8"/>
      <c r="U39" s="8"/>
    </row>
    <row r="40" spans="1:21" x14ac:dyDescent="0.3">
      <c r="A40" s="8"/>
      <c r="B40" s="8"/>
      <c r="C40" s="8"/>
      <c r="D40" s="8"/>
      <c r="E40" s="8"/>
      <c r="F40" s="8"/>
      <c r="G40" s="8"/>
      <c r="H40" s="8"/>
      <c r="I40" s="8"/>
      <c r="J40" s="8"/>
      <c r="K40" s="8"/>
      <c r="L40" s="8"/>
      <c r="M40" s="8"/>
      <c r="N40" s="8"/>
      <c r="O40" s="8"/>
      <c r="P40" s="8"/>
      <c r="Q40" s="8"/>
      <c r="R40" s="8"/>
      <c r="S40" s="8"/>
      <c r="T40" s="8"/>
      <c r="U40" s="8"/>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2026-02-09T05:32:42Z</dcterms:created>
  <dcterms:modified xsi:type="dcterms:W3CDTF">2026-02-10T06:33:50Z</dcterms:modified>
</cp:coreProperties>
</file>